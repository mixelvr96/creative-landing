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изводство креатива" sheetId="1" r:id="rId4"/>
  </sheets>
  <definedNames/>
  <calcPr/>
  <extLst>
    <ext uri="GoogleSheetsCustomDataVersion2">
      <go:sheetsCustomData xmlns:go="http://customooxmlschemas.google.com/" r:id="rId5" roundtripDataChecksum="c20gdwkWbcKdlkamvRJKtFhvS6cznKGOHtMlhY6VDAY="/>
    </ext>
  </extLst>
</workbook>
</file>

<file path=xl/sharedStrings.xml><?xml version="1.0" encoding="utf-8"?>
<sst xmlns="http://schemas.openxmlformats.org/spreadsheetml/2006/main" count="81" uniqueCount="63">
  <si>
    <t>* Скидка за объем дается от 10 позиций</t>
  </si>
  <si>
    <t>*** Скидка за объем дается от 30 позиций</t>
  </si>
  <si>
    <t>Все фотографии и видеоматериалы включены в стоимость</t>
  </si>
  <si>
    <t>Статичные баннеры</t>
  </si>
  <si>
    <t>Стоимость</t>
  </si>
  <si>
    <t>Скидка за объем*</t>
  </si>
  <si>
    <t>Скидка за объем***</t>
  </si>
  <si>
    <t>Количество итераций</t>
  </si>
  <si>
    <t>Коментарий</t>
  </si>
  <si>
    <t>Сроки производства ( без учёта создания  и утверждения сценария)</t>
  </si>
  <si>
    <t>Статический мастер баннер: простая графика или фотосток</t>
  </si>
  <si>
    <t>до 3</t>
  </si>
  <si>
    <t>Мастер-баннер. Пример</t>
  </si>
  <si>
    <t>3 дня</t>
  </si>
  <si>
    <t>Статический мастер баннер: отрисовка иллюстраций</t>
  </si>
  <si>
    <t>Сроки зависят от сложности и детальности иллюстративных материалов</t>
  </si>
  <si>
    <t>5  дней</t>
  </si>
  <si>
    <t>Создание статики с помощью ИИ</t>
  </si>
  <si>
    <t>При работе с ИИ возможны расхождения с референсом - 100% совпадение не гарантируется.</t>
  </si>
  <si>
    <t>4-5 дня</t>
  </si>
  <si>
    <t>Статичный UGC креатив</t>
  </si>
  <si>
    <t xml:space="preserve">Важно указать сроки спользования </t>
  </si>
  <si>
    <t>4 дня</t>
  </si>
  <si>
    <t>Ресайз мастер-баннера</t>
  </si>
  <si>
    <t>1 день</t>
  </si>
  <si>
    <t>Анимация</t>
  </si>
  <si>
    <t xml:space="preserve">Motion 2D видео до 30 сек.
</t>
  </si>
  <si>
    <t>до 2</t>
  </si>
  <si>
    <t xml:space="preserve">Разработка анимации до 30 секунд. Пример </t>
  </si>
  <si>
    <t>5 дней</t>
  </si>
  <si>
    <t>Ресайз простой анимация</t>
  </si>
  <si>
    <t>Креативы с использованием сложной анимациионных подходов</t>
  </si>
  <si>
    <t>1 (на основе утвержденного подхода)</t>
  </si>
  <si>
    <t>10 дней + (в зависимости от сложности)</t>
  </si>
  <si>
    <t>Ресайз креативов с использованием сложной анимации</t>
  </si>
  <si>
    <t xml:space="preserve">5 дней </t>
  </si>
  <si>
    <t>Видео</t>
  </si>
  <si>
    <t>UGC до 30 сек</t>
  </si>
  <si>
    <t>Разработка сценариев. Кастинг модели. Съемки. Постпродакшн</t>
  </si>
  <si>
    <t>10 дней (с момента получения посылки если требуется)</t>
  </si>
  <si>
    <t>Ресайз UGC</t>
  </si>
  <si>
    <t xml:space="preserve">Ресайз под формат площадок </t>
  </si>
  <si>
    <t>Создание видео с помощью ИИ до 30 сек</t>
  </si>
  <si>
    <t>Простые генеративные сцены, без сложных движений камеры и наполнения</t>
  </si>
  <si>
    <t>14 дней</t>
  </si>
  <si>
    <t>Ресайз видео ИИ</t>
  </si>
  <si>
    <t>Мультипликация до 30 сек</t>
  </si>
  <si>
    <t>Покадровая 2D-анимация</t>
  </si>
  <si>
    <t>Ресайз видео</t>
  </si>
  <si>
    <t>Gaming</t>
  </si>
  <si>
    <t>2D анимация (просчет по сценарию)</t>
  </si>
  <si>
    <t>от</t>
  </si>
  <si>
    <t>Цена зависит от наличия исходных графических материалов и сложности сценария</t>
  </si>
  <si>
    <t>3D анимация (просчет по сценарию)</t>
  </si>
  <si>
    <t>14 дней + (в зависимости от сложности)</t>
  </si>
  <si>
    <t>Спецпредложения</t>
  </si>
  <si>
    <t>HTML/Playable креатив</t>
  </si>
  <si>
    <t xml:space="preserve">*Стоимость зависит от сложности ТЗ </t>
  </si>
  <si>
    <t>10 дней</t>
  </si>
  <si>
    <t>HTML/Playable креатив с 3D</t>
  </si>
  <si>
    <t xml:space="preserve">Офлайн стенды </t>
  </si>
  <si>
    <t>7 дней</t>
  </si>
  <si>
    <t xml:space="preserve">Ресайз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</si>
</sst>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уб.]&quot; &quot;#,##0.00"/>
    <numFmt numFmtId="165" formatCode="[$руб.]&quot; &quot;#,##0"/>
  </numFmts>
  <fonts count="10">
    <font>
      <sz val="11.0"/>
      <color rgb="FF000000"/>
      <name val="Calibri"/>
      <scheme val="minor"/>
    </font>
    <font>
      <sz val="10.0"/>
      <color rgb="FF000000"/>
      <name val="Roboto"/>
    </font>
    <font>
      <sz val="10.0"/>
      <color rgb="FF434343"/>
      <name val="Roboto"/>
    </font>
    <font/>
    <font>
      <b/>
      <sz val="10.0"/>
      <color rgb="FF434343"/>
      <name val="Roboto"/>
    </font>
    <font>
      <sz val="10.0"/>
      <color rgb="FFFFFFFF"/>
      <name val="Roboto"/>
    </font>
    <font>
      <b/>
      <sz val="10.0"/>
      <color rgb="FFFFFF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4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2E4347"/>
      </right>
      <top style="thin">
        <color rgb="FF000000"/>
      </top>
    </border>
    <border>
      <left style="thin">
        <color rgb="FF2E4347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E4347"/>
      </right>
      <bottom style="thin">
        <color rgb="FF000000"/>
      </bottom>
    </border>
    <border>
      <left style="thin">
        <color rgb="FF2E4347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2E4347"/>
      </right>
      <top style="thin">
        <color rgb="FF000000"/>
      </top>
      <bottom style="thin">
        <color rgb="FFFFFFFF"/>
      </bottom>
    </border>
    <border>
      <left style="thin">
        <color rgb="FF2E4347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2E4347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2" fontId="2" numFmtId="49" xfId="0" applyAlignment="1" applyBorder="1" applyFill="1" applyFont="1" applyNumberFormat="1">
      <alignment readingOrder="0" shrinkToFit="0" vertical="center" wrapText="1"/>
    </xf>
    <xf borderId="3" fillId="0" fontId="3" numFmtId="0" xfId="0" applyBorder="1" applyFont="1"/>
    <xf borderId="1" fillId="2" fontId="1" numFmtId="0" xfId="0" applyAlignment="1" applyBorder="1" applyFont="1">
      <alignment horizontal="left" vertical="center"/>
    </xf>
    <xf borderId="4" fillId="2" fontId="2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vertical="center"/>
    </xf>
    <xf borderId="8" fillId="0" fontId="3" numFmtId="0" xfId="0" applyBorder="1" applyFont="1"/>
    <xf borderId="9" fillId="0" fontId="3" numFmtId="0" xfId="0" applyBorder="1" applyFont="1"/>
    <xf borderId="4" fillId="2" fontId="2" numFmtId="49" xfId="0" applyAlignment="1" applyBorder="1" applyFont="1" applyNumberFormat="1">
      <alignment horizontal="left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2" fontId="2" numFmtId="0" xfId="0" applyAlignment="1" applyBorder="1" applyFont="1">
      <alignment horizontal="left" vertical="center"/>
    </xf>
    <xf borderId="13" fillId="0" fontId="3" numFmtId="0" xfId="0" applyBorder="1" applyFont="1"/>
    <xf borderId="4" fillId="0" fontId="4" numFmtId="0" xfId="0" applyAlignment="1" applyBorder="1" applyFont="1">
      <alignment vertical="center"/>
    </xf>
    <xf borderId="1" fillId="0" fontId="2" numFmtId="49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5" fillId="3" fontId="5" numFmtId="0" xfId="0" applyAlignment="1" applyBorder="1" applyFill="1" applyFont="1">
      <alignment horizontal="center" vertical="center"/>
    </xf>
    <xf borderId="16" fillId="3" fontId="6" numFmtId="49" xfId="0" applyAlignment="1" applyBorder="1" applyFont="1" applyNumberFormat="1">
      <alignment vertical="center"/>
    </xf>
    <xf borderId="17" fillId="3" fontId="5" numFmtId="49" xfId="0" applyAlignment="1" applyBorder="1" applyFont="1" applyNumberFormat="1">
      <alignment horizontal="center" vertical="center"/>
    </xf>
    <xf borderId="18" fillId="0" fontId="3" numFmtId="0" xfId="0" applyBorder="1" applyFont="1"/>
    <xf borderId="15" fillId="3" fontId="5" numFmtId="9" xfId="0" applyAlignment="1" applyBorder="1" applyFont="1" applyNumberFormat="1">
      <alignment horizontal="center" vertical="center"/>
    </xf>
    <xf borderId="16" fillId="3" fontId="5" numFmtId="49" xfId="0" applyAlignment="1" applyBorder="1" applyFont="1" applyNumberFormat="1">
      <alignment horizontal="right" vertical="center"/>
    </xf>
    <xf borderId="19" fillId="3" fontId="5" numFmtId="9" xfId="0" applyAlignment="1" applyBorder="1" applyFont="1" applyNumberFormat="1">
      <alignment horizontal="right" vertical="center"/>
    </xf>
    <xf borderId="20" fillId="3" fontId="5" numFmtId="49" xfId="0" applyAlignment="1" applyBorder="1" applyFont="1" applyNumberFormat="1">
      <alignment horizontal="right" vertical="center"/>
    </xf>
    <xf borderId="21" fillId="3" fontId="5" numFmtId="49" xfId="0" applyAlignment="1" applyBorder="1" applyFont="1" applyNumberFormat="1">
      <alignment horizontal="right" vertical="center"/>
    </xf>
    <xf borderId="21" fillId="3" fontId="5" numFmtId="49" xfId="0" applyAlignment="1" applyBorder="1" applyFont="1" applyNumberFormat="1">
      <alignment horizontal="left" vertical="center"/>
    </xf>
    <xf borderId="21" fillId="3" fontId="5" numFmtId="49" xfId="0" applyAlignment="1" applyBorder="1" applyFont="1" applyNumberFormat="1">
      <alignment horizontal="left" readingOrder="0" shrinkToFit="0" vertical="center" wrapText="1"/>
    </xf>
    <xf borderId="22" fillId="2" fontId="1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1" numFmtId="0" xfId="0" applyAlignment="1" applyBorder="1" applyFont="1">
      <alignment vertical="center"/>
    </xf>
    <xf borderId="31" fillId="2" fontId="2" numFmtId="49" xfId="0" applyAlignment="1" applyBorder="1" applyFont="1" applyNumberFormat="1">
      <alignment readingOrder="0" shrinkToFit="0" vertical="center" wrapText="1"/>
    </xf>
    <xf borderId="32" fillId="2" fontId="2" numFmtId="164" xfId="0" applyAlignment="1" applyBorder="1" applyFont="1" applyNumberFormat="1">
      <alignment vertical="center"/>
    </xf>
    <xf borderId="33" fillId="2" fontId="2" numFmtId="164" xfId="0" applyAlignment="1" applyBorder="1" applyFont="1" applyNumberFormat="1">
      <alignment readingOrder="0" vertical="center"/>
    </xf>
    <xf borderId="34" fillId="2" fontId="2" numFmtId="164" xfId="0" applyAlignment="1" applyBorder="1" applyFont="1" applyNumberFormat="1">
      <alignment vertical="center"/>
    </xf>
    <xf borderId="35" fillId="0" fontId="3" numFmtId="0" xfId="0" applyBorder="1" applyFont="1"/>
    <xf borderId="31" fillId="2" fontId="2" numFmtId="49" xfId="0" applyAlignment="1" applyBorder="1" applyFont="1" applyNumberFormat="1">
      <alignment horizontal="right" vertical="center"/>
    </xf>
    <xf borderId="31" fillId="2" fontId="7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vertical="center"/>
    </xf>
    <xf borderId="36" fillId="0" fontId="1" numFmtId="0" xfId="0" applyAlignment="1" applyBorder="1" applyFont="1">
      <alignment vertical="center"/>
    </xf>
    <xf borderId="31" fillId="0" fontId="1" numFmtId="0" xfId="0" applyAlignment="1" applyBorder="1" applyFont="1">
      <alignment vertical="center"/>
    </xf>
    <xf borderId="31" fillId="2" fontId="2" numFmtId="0" xfId="0" applyAlignment="1" applyBorder="1" applyFont="1">
      <alignment horizontal="left" readingOrder="0" shrinkToFit="0" vertical="center" wrapText="1"/>
    </xf>
    <xf borderId="37" fillId="0" fontId="1" numFmtId="0" xfId="0" applyAlignment="1" applyBorder="1" applyFont="1">
      <alignment vertical="center"/>
    </xf>
    <xf borderId="31" fillId="2" fontId="2" numFmtId="49" xfId="0" applyAlignment="1" applyBorder="1" applyFont="1" applyNumberFormat="1">
      <alignment shrinkToFit="0" vertical="center" wrapText="1"/>
    </xf>
    <xf borderId="31" fillId="2" fontId="2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vertical="center"/>
    </xf>
    <xf borderId="38" fillId="3" fontId="5" numFmtId="0" xfId="0" applyAlignment="1" applyBorder="1" applyFont="1">
      <alignment horizontal="center" vertical="center"/>
    </xf>
    <xf borderId="39" fillId="3" fontId="5" numFmtId="49" xfId="0" applyAlignment="1" applyBorder="1" applyFont="1" applyNumberFormat="1">
      <alignment vertical="center"/>
    </xf>
    <xf borderId="40" fillId="0" fontId="3" numFmtId="0" xfId="0" applyBorder="1" applyFont="1"/>
    <xf borderId="31" fillId="3" fontId="1" numFmtId="0" xfId="0" applyAlignment="1" applyBorder="1" applyFont="1">
      <alignment vertical="center"/>
    </xf>
    <xf borderId="31" fillId="2" fontId="2" numFmtId="49" xfId="0" applyAlignment="1" applyBorder="1" applyFont="1" applyNumberFormat="1">
      <alignment horizontal="left" readingOrder="0" shrinkToFit="0" vertical="center" wrapText="1"/>
    </xf>
    <xf borderId="32" fillId="2" fontId="2" numFmtId="164" xfId="0" applyAlignment="1" applyBorder="1" applyFont="1" applyNumberFormat="1">
      <alignment horizontal="right" vertical="center"/>
    </xf>
    <xf borderId="33" fillId="2" fontId="2" numFmtId="164" xfId="0" applyAlignment="1" applyBorder="1" applyFont="1" applyNumberFormat="1">
      <alignment horizontal="right" readingOrder="0" vertical="center"/>
    </xf>
    <xf borderId="31" fillId="2" fontId="8" numFmtId="49" xfId="0" applyAlignment="1" applyBorder="1" applyFont="1" applyNumberFormat="1">
      <alignment horizontal="left" readingOrder="0" shrinkToFit="0" vertical="center" wrapText="1"/>
    </xf>
    <xf borderId="31" fillId="2" fontId="2" numFmtId="49" xfId="0" applyAlignment="1" applyBorder="1" applyFont="1" applyNumberFormat="1">
      <alignment horizontal="left" shrinkToFit="0" vertical="center" wrapText="1"/>
    </xf>
    <xf borderId="31" fillId="2" fontId="2" numFmtId="0" xfId="0" applyAlignment="1" applyBorder="1" applyFont="1">
      <alignment horizontal="right" vertical="center"/>
    </xf>
    <xf borderId="31" fillId="0" fontId="1" numFmtId="0" xfId="0" applyAlignment="1" applyBorder="1" applyFont="1">
      <alignment readingOrder="0" vertical="center"/>
    </xf>
    <xf borderId="32" fillId="2" fontId="2" numFmtId="49" xfId="0" applyAlignment="1" applyBorder="1" applyFont="1" applyNumberFormat="1">
      <alignment horizontal="right" vertical="center"/>
    </xf>
    <xf borderId="31" fillId="2" fontId="2" numFmtId="49" xfId="0" applyAlignment="1" applyBorder="1" applyFont="1" applyNumberFormat="1">
      <alignment horizontal="right" shrinkToFit="0" vertical="center" wrapText="1"/>
    </xf>
    <xf borderId="41" fillId="0" fontId="1" numFmtId="0" xfId="0" applyAlignment="1" applyBorder="1" applyFont="1">
      <alignment vertical="center"/>
    </xf>
    <xf borderId="31" fillId="0" fontId="2" numFmtId="0" xfId="0" applyAlignment="1" applyBorder="1" applyFont="1">
      <alignment horizontal="right" vertical="center"/>
    </xf>
    <xf borderId="31" fillId="0" fontId="1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31" fillId="2" fontId="2" numFmtId="49" xfId="0" applyAlignment="1" applyBorder="1" applyFont="1" applyNumberFormat="1">
      <alignment readingOrder="0" vertical="center"/>
    </xf>
    <xf borderId="32" fillId="2" fontId="9" numFmtId="164" xfId="0" applyAlignment="1" applyBorder="1" applyFont="1" applyNumberFormat="1">
      <alignment vertical="center"/>
    </xf>
    <xf borderId="34" fillId="2" fontId="2" numFmtId="164" xfId="0" applyAlignment="1" applyBorder="1" applyFont="1" applyNumberFormat="1">
      <alignment horizontal="right" vertical="center"/>
    </xf>
    <xf borderId="31" fillId="2" fontId="9" numFmtId="0" xfId="0" applyAlignment="1" applyBorder="1" applyFont="1">
      <alignment vertical="center"/>
    </xf>
    <xf borderId="31" fillId="0" fontId="9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42" fillId="0" fontId="1" numFmtId="0" xfId="0" applyAlignment="1" applyBorder="1" applyFont="1">
      <alignment vertical="center"/>
    </xf>
    <xf borderId="31" fillId="2" fontId="2" numFmtId="49" xfId="0" applyAlignment="1" applyBorder="1" applyFont="1" applyNumberFormat="1">
      <alignment horizontal="left" vertical="center"/>
    </xf>
    <xf borderId="33" fillId="2" fontId="2" numFmtId="164" xfId="0" applyAlignment="1" applyBorder="1" applyFont="1" applyNumberFormat="1">
      <alignment horizontal="right" vertical="center"/>
    </xf>
    <xf borderId="31" fillId="2" fontId="2" numFmtId="0" xfId="0" applyAlignment="1" applyBorder="1" applyFont="1">
      <alignment vertical="center"/>
    </xf>
    <xf borderId="43" fillId="3" fontId="5" numFmtId="49" xfId="0" applyAlignment="1" applyBorder="1" applyFont="1" applyNumberFormat="1">
      <alignment vertical="center"/>
    </xf>
    <xf borderId="44" fillId="3" fontId="5" numFmtId="0" xfId="0" applyAlignment="1" applyBorder="1" applyFont="1">
      <alignment vertical="center"/>
    </xf>
    <xf borderId="45" fillId="3" fontId="5" numFmtId="0" xfId="0" applyAlignment="1" applyBorder="1" applyFont="1">
      <alignment vertical="center"/>
    </xf>
    <xf borderId="33" fillId="2" fontId="2" numFmtId="165" xfId="0" applyAlignment="1" applyBorder="1" applyFont="1" applyNumberFormat="1">
      <alignment horizontal="right" readingOrder="0" vertical="center"/>
    </xf>
    <xf borderId="34" fillId="2" fontId="2" numFmtId="0" xfId="0" applyAlignment="1" applyBorder="1" applyFont="1">
      <alignment vertical="center"/>
    </xf>
    <xf borderId="33" fillId="2" fontId="2" numFmtId="165" xfId="0" applyAlignment="1" applyBorder="1" applyFont="1" applyNumberFormat="1">
      <alignment horizontal="right" vertical="center"/>
    </xf>
    <xf borderId="38" fillId="3" fontId="5" numFmtId="0" xfId="0" applyAlignment="1" applyBorder="1" applyFont="1">
      <alignment horizontal="center" readingOrder="0" vertical="center"/>
    </xf>
    <xf borderId="39" fillId="3" fontId="5" numFmtId="49" xfId="0" applyAlignment="1" applyBorder="1" applyFont="1" applyNumberFormat="1">
      <alignment readingOrder="0" vertical="center"/>
    </xf>
    <xf borderId="32" fillId="2" fontId="2" numFmtId="49" xfId="0" applyAlignment="1" applyBorder="1" applyFont="1" applyNumberFormat="1">
      <alignment horizontal="right" readingOrder="0"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31" fillId="0" fontId="9" numFmtId="0" xfId="0" applyAlignment="1" applyBorder="1" applyFont="1">
      <alignment readingOrder="0" vertical="center"/>
    </xf>
    <xf borderId="31" fillId="2" fontId="2" numFmtId="49" xfId="0" applyAlignment="1" applyBorder="1" applyFont="1" applyNumberFormat="1">
      <alignment horizontal="left" readingOrder="0" vertical="center"/>
    </xf>
    <xf borderId="13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47625</xdr:rowOff>
    </xdr:from>
    <xdr:ext cx="2667000" cy="542925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n-HZdu5xjXVh223ms-8ceZXDWL9HfeU/view?usp=share_link" TargetMode="External"/><Relationship Id="rId2" Type="http://schemas.openxmlformats.org/officeDocument/2006/relationships/hyperlink" Target="https://drive.google.com/file/d/1H5f_mqwKSs6cCjqqSXFTTIj7bpyGRGDZ/view?usp=shar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.14"/>
    <col customWidth="1" min="3" max="3" width="36.29"/>
    <col customWidth="1" min="4" max="4" width="4.43"/>
    <col customWidth="1" min="5" max="5" width="23.43"/>
    <col customWidth="1" min="6" max="6" width="5.86"/>
    <col customWidth="1" min="7" max="7" width="16.43"/>
    <col customWidth="1" min="8" max="8" width="5.14"/>
    <col customWidth="1" min="9" max="9" width="19.29"/>
    <col customWidth="1" min="10" max="10" width="23.14"/>
    <col customWidth="1" min="11" max="11" width="64.29"/>
    <col customWidth="1" min="12" max="12" width="42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"/>
      <c r="B2" s="2"/>
      <c r="C2" s="3"/>
      <c r="D2" s="4"/>
      <c r="E2" s="5"/>
      <c r="F2" s="6"/>
      <c r="G2" s="7"/>
      <c r="H2" s="1"/>
      <c r="I2" s="1"/>
      <c r="J2" s="1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"/>
      <c r="B3" s="9"/>
      <c r="C3" s="10"/>
      <c r="D3" s="4"/>
      <c r="E3" s="11" t="s">
        <v>0</v>
      </c>
      <c r="F3" s="6"/>
      <c r="G3" s="7"/>
      <c r="H3" s="1"/>
      <c r="I3" s="1"/>
      <c r="J3" s="1"/>
      <c r="K3" s="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"/>
      <c r="B4" s="13"/>
      <c r="C4" s="14"/>
      <c r="D4" s="4"/>
      <c r="E4" s="11" t="s">
        <v>1</v>
      </c>
      <c r="F4" s="6"/>
      <c r="G4" s="7"/>
      <c r="H4" s="15"/>
      <c r="I4" s="15"/>
      <c r="J4" s="1"/>
      <c r="K4" s="1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"/>
      <c r="B5" s="17"/>
      <c r="C5" s="7"/>
      <c r="D5" s="4"/>
      <c r="E5" s="18" t="s">
        <v>2</v>
      </c>
      <c r="F5" s="1"/>
      <c r="G5" s="1"/>
      <c r="H5" s="15"/>
      <c r="I5" s="15"/>
      <c r="J5" s="1"/>
      <c r="K5" s="1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0" customHeight="1">
      <c r="A6" s="1"/>
      <c r="B6" s="1"/>
      <c r="C6" s="1"/>
      <c r="D6" s="20"/>
      <c r="E6" s="20"/>
      <c r="F6" s="20"/>
      <c r="G6" s="20"/>
      <c r="H6" s="20"/>
      <c r="I6" s="20"/>
      <c r="J6" s="20"/>
      <c r="K6" s="2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9.75" customHeight="1">
      <c r="A7" s="1"/>
      <c r="B7" s="21">
        <v>1.0</v>
      </c>
      <c r="C7" s="22" t="s">
        <v>3</v>
      </c>
      <c r="D7" s="23" t="s">
        <v>4</v>
      </c>
      <c r="E7" s="24"/>
      <c r="F7" s="25">
        <v>0.15</v>
      </c>
      <c r="G7" s="26" t="s">
        <v>5</v>
      </c>
      <c r="H7" s="27">
        <v>0.35</v>
      </c>
      <c r="I7" s="28" t="s">
        <v>6</v>
      </c>
      <c r="J7" s="29" t="s">
        <v>7</v>
      </c>
      <c r="K7" s="30" t="s">
        <v>8</v>
      </c>
      <c r="L7" s="31" t="s">
        <v>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3.25" customHeight="1">
      <c r="A8" s="32"/>
      <c r="B8" s="33"/>
      <c r="C8" s="34"/>
      <c r="D8" s="35"/>
      <c r="E8" s="36"/>
      <c r="F8" s="33"/>
      <c r="G8" s="34"/>
      <c r="H8" s="37"/>
      <c r="I8" s="38"/>
      <c r="J8" s="39"/>
      <c r="K8" s="39"/>
      <c r="L8" s="3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36.0" customHeight="1">
      <c r="A9" s="1"/>
      <c r="B9" s="40"/>
      <c r="C9" s="41" t="s">
        <v>10</v>
      </c>
      <c r="D9" s="42"/>
      <c r="E9" s="43">
        <v>8000.0</v>
      </c>
      <c r="F9" s="44">
        <f>$E$9-($E$9*$F$7)</f>
        <v>6800</v>
      </c>
      <c r="G9" s="45"/>
      <c r="H9" s="44">
        <f>$E$9-($E$9*$H$7)</f>
        <v>5200</v>
      </c>
      <c r="I9" s="45"/>
      <c r="J9" s="46" t="s">
        <v>11</v>
      </c>
      <c r="K9" s="47" t="s">
        <v>12</v>
      </c>
      <c r="L9" s="41" t="s">
        <v>13</v>
      </c>
      <c r="M9" s="4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39.0" customHeight="1">
      <c r="A10" s="1"/>
      <c r="B10" s="49"/>
      <c r="C10" s="41" t="s">
        <v>14</v>
      </c>
      <c r="D10" s="42"/>
      <c r="E10" s="43">
        <v>10000.0</v>
      </c>
      <c r="F10" s="44">
        <f>$E$10-($E$10*$F$7)</f>
        <v>8500</v>
      </c>
      <c r="G10" s="45"/>
      <c r="H10" s="44">
        <f>$E$10-($E$10*$H$7)</f>
        <v>6500</v>
      </c>
      <c r="I10" s="45"/>
      <c r="J10" s="50"/>
      <c r="K10" s="51" t="s">
        <v>15</v>
      </c>
      <c r="L10" s="41" t="s">
        <v>16</v>
      </c>
      <c r="M10" s="4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39.0" customHeight="1">
      <c r="A11" s="1"/>
      <c r="B11" s="49"/>
      <c r="C11" s="41" t="s">
        <v>17</v>
      </c>
      <c r="D11" s="42"/>
      <c r="E11" s="43">
        <v>8000.0</v>
      </c>
      <c r="F11" s="44">
        <f>$E$11-($E$11*$F$7)</f>
        <v>6800</v>
      </c>
      <c r="G11" s="45"/>
      <c r="H11" s="44">
        <f>$E$11-($E$11*$H$7)</f>
        <v>5200</v>
      </c>
      <c r="I11" s="45"/>
      <c r="J11" s="50"/>
      <c r="K11" s="51" t="s">
        <v>18</v>
      </c>
      <c r="L11" s="41" t="s">
        <v>19</v>
      </c>
      <c r="M11" s="4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39.0" customHeight="1">
      <c r="A12" s="1"/>
      <c r="B12" s="49"/>
      <c r="C12" s="41" t="s">
        <v>20</v>
      </c>
      <c r="D12" s="42"/>
      <c r="E12" s="43">
        <v>10000.0</v>
      </c>
      <c r="F12" s="44">
        <f>$E$12-($E$12*$F$7)</f>
        <v>8500</v>
      </c>
      <c r="G12" s="45"/>
      <c r="H12" s="44">
        <f>$E$12-($E$12*$H$7)</f>
        <v>6500</v>
      </c>
      <c r="I12" s="45"/>
      <c r="J12" s="50"/>
      <c r="K12" s="51" t="s">
        <v>21</v>
      </c>
      <c r="L12" s="41" t="s">
        <v>22</v>
      </c>
      <c r="M12" s="4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39.0" customHeight="1">
      <c r="A13" s="1"/>
      <c r="B13" s="52"/>
      <c r="C13" s="53" t="s">
        <v>23</v>
      </c>
      <c r="D13" s="42"/>
      <c r="E13" s="43">
        <v>1500.0</v>
      </c>
      <c r="F13" s="44">
        <f>E13-(E13*F7)</f>
        <v>1275</v>
      </c>
      <c r="G13" s="45"/>
      <c r="H13" s="44">
        <f>E13-(E13*$H$7)</f>
        <v>975</v>
      </c>
      <c r="I13" s="45"/>
      <c r="J13" s="50"/>
      <c r="K13" s="54"/>
      <c r="L13" s="41" t="s">
        <v>24</v>
      </c>
      <c r="M13" s="4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5.5" customHeight="1">
      <c r="A14" s="55"/>
      <c r="B14" s="56">
        <v>2.0</v>
      </c>
      <c r="C14" s="57" t="s">
        <v>25</v>
      </c>
      <c r="D14" s="58"/>
      <c r="E14" s="58"/>
      <c r="F14" s="58"/>
      <c r="G14" s="58"/>
      <c r="H14" s="58"/>
      <c r="I14" s="58"/>
      <c r="J14" s="58"/>
      <c r="K14" s="45"/>
      <c r="L14" s="59"/>
      <c r="M14" s="4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57.75" customHeight="1">
      <c r="A15" s="1"/>
      <c r="B15" s="55"/>
      <c r="C15" s="60" t="s">
        <v>26</v>
      </c>
      <c r="D15" s="61"/>
      <c r="E15" s="62">
        <v>12000.0</v>
      </c>
      <c r="F15" s="44">
        <f>E15-(E15*F7)</f>
        <v>10200</v>
      </c>
      <c r="G15" s="45"/>
      <c r="H15" s="44">
        <f t="shared" ref="H15:H18" si="1">E15-(E15*$H$7)</f>
        <v>7800</v>
      </c>
      <c r="I15" s="45"/>
      <c r="J15" s="46" t="s">
        <v>27</v>
      </c>
      <c r="K15" s="63" t="s">
        <v>28</v>
      </c>
      <c r="L15" s="50" t="s">
        <v>29</v>
      </c>
      <c r="M15" s="4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65.25" customHeight="1">
      <c r="A16" s="1"/>
      <c r="B16" s="55"/>
      <c r="C16" s="64" t="s">
        <v>30</v>
      </c>
      <c r="D16" s="61"/>
      <c r="E16" s="62">
        <v>1500.0</v>
      </c>
      <c r="F16" s="44">
        <f>E16-(E16*F7)</f>
        <v>1275</v>
      </c>
      <c r="G16" s="45"/>
      <c r="H16" s="44">
        <f t="shared" si="1"/>
        <v>975</v>
      </c>
      <c r="I16" s="45"/>
      <c r="J16" s="65"/>
      <c r="K16" s="54"/>
      <c r="L16" s="66" t="s">
        <v>22</v>
      </c>
      <c r="M16" s="4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61.5" customHeight="1">
      <c r="A17" s="1"/>
      <c r="B17" s="55"/>
      <c r="C17" s="60" t="s">
        <v>31</v>
      </c>
      <c r="D17" s="67"/>
      <c r="E17" s="62">
        <v>16000.0</v>
      </c>
      <c r="F17" s="44">
        <f>E17-(E17*F7)</f>
        <v>13600</v>
      </c>
      <c r="G17" s="45"/>
      <c r="H17" s="44">
        <f t="shared" si="1"/>
        <v>10400</v>
      </c>
      <c r="I17" s="45"/>
      <c r="J17" s="68" t="s">
        <v>32</v>
      </c>
      <c r="K17" s="64"/>
      <c r="L17" s="64" t="s">
        <v>33</v>
      </c>
      <c r="M17" s="4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65.25" customHeight="1">
      <c r="A18" s="1"/>
      <c r="B18" s="52"/>
      <c r="C18" s="60" t="s">
        <v>34</v>
      </c>
      <c r="D18" s="61"/>
      <c r="E18" s="62">
        <v>2500.0</v>
      </c>
      <c r="F18" s="44">
        <f>E18-(E18*F7)</f>
        <v>2125</v>
      </c>
      <c r="G18" s="45"/>
      <c r="H18" s="44">
        <f t="shared" si="1"/>
        <v>1625</v>
      </c>
      <c r="I18" s="45"/>
      <c r="J18" s="50"/>
      <c r="K18" s="54"/>
      <c r="L18" s="50" t="s">
        <v>35</v>
      </c>
      <c r="M18" s="4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5.5" customHeight="1">
      <c r="A19" s="55"/>
      <c r="B19" s="56">
        <v>3.0</v>
      </c>
      <c r="C19" s="57" t="s">
        <v>36</v>
      </c>
      <c r="D19" s="58"/>
      <c r="E19" s="58"/>
      <c r="F19" s="58"/>
      <c r="G19" s="58"/>
      <c r="H19" s="58"/>
      <c r="I19" s="58"/>
      <c r="J19" s="58"/>
      <c r="K19" s="45"/>
      <c r="L19" s="59"/>
      <c r="M19" s="4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64.5" customHeight="1">
      <c r="A20" s="1"/>
      <c r="B20" s="69"/>
      <c r="C20" s="60" t="s">
        <v>37</v>
      </c>
      <c r="D20" s="67"/>
      <c r="E20" s="62">
        <v>15000.0</v>
      </c>
      <c r="F20" s="44">
        <f t="shared" ref="F20:F21" si="2">E20-(E20*F$7)</f>
        <v>12750</v>
      </c>
      <c r="G20" s="45"/>
      <c r="H20" s="44">
        <f t="shared" ref="H20:H23" si="3">E20-(E20*$H$7)</f>
        <v>9750</v>
      </c>
      <c r="I20" s="45"/>
      <c r="J20" s="70"/>
      <c r="K20" s="60" t="s">
        <v>38</v>
      </c>
      <c r="L20" s="71" t="s">
        <v>39</v>
      </c>
      <c r="M20" s="4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42.75" customHeight="1">
      <c r="A21" s="72"/>
      <c r="B21" s="73"/>
      <c r="C21" s="74" t="s">
        <v>40</v>
      </c>
      <c r="D21" s="75"/>
      <c r="E21" s="62">
        <v>2500.0</v>
      </c>
      <c r="F21" s="44">
        <f t="shared" si="2"/>
        <v>2125</v>
      </c>
      <c r="G21" s="45"/>
      <c r="H21" s="76">
        <f t="shared" si="3"/>
        <v>1625</v>
      </c>
      <c r="I21" s="45"/>
      <c r="J21" s="77"/>
      <c r="K21" s="53" t="s">
        <v>41</v>
      </c>
      <c r="L21" s="78" t="s">
        <v>29</v>
      </c>
      <c r="M21" s="79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ht="48.75" customHeight="1">
      <c r="A22" s="1"/>
      <c r="B22" s="49"/>
      <c r="C22" s="60" t="s">
        <v>42</v>
      </c>
      <c r="D22" s="67"/>
      <c r="E22" s="62">
        <v>20000.0</v>
      </c>
      <c r="F22" s="44">
        <f>E22-(E22*F7)</f>
        <v>17000</v>
      </c>
      <c r="G22" s="45"/>
      <c r="H22" s="44">
        <f t="shared" si="3"/>
        <v>13000</v>
      </c>
      <c r="I22" s="45"/>
      <c r="J22" s="70"/>
      <c r="K22" s="60" t="s">
        <v>43</v>
      </c>
      <c r="L22" s="50" t="s">
        <v>44</v>
      </c>
      <c r="M22" s="4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48.75" customHeight="1">
      <c r="A23" s="72"/>
      <c r="B23" s="73"/>
      <c r="C23" s="74" t="s">
        <v>45</v>
      </c>
      <c r="D23" s="75"/>
      <c r="E23" s="62">
        <v>2500.0</v>
      </c>
      <c r="F23" s="76">
        <f>E23-(E23*F7)</f>
        <v>2125</v>
      </c>
      <c r="G23" s="45"/>
      <c r="H23" s="76">
        <f t="shared" si="3"/>
        <v>1625</v>
      </c>
      <c r="I23" s="45"/>
      <c r="J23" s="77"/>
      <c r="K23" s="53" t="s">
        <v>41</v>
      </c>
      <c r="L23" s="78" t="s">
        <v>29</v>
      </c>
      <c r="M23" s="79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ht="66.75" customHeight="1">
      <c r="A24" s="1"/>
      <c r="B24" s="81"/>
      <c r="C24" s="60" t="s">
        <v>46</v>
      </c>
      <c r="D24" s="67"/>
      <c r="E24" s="62">
        <v>250000.0</v>
      </c>
      <c r="F24" s="44">
        <f>E24-(E24*F$7)</f>
        <v>212500</v>
      </c>
      <c r="G24" s="45"/>
      <c r="H24" s="44">
        <f>$E$24-($E$24*$H$7)</f>
        <v>162500</v>
      </c>
      <c r="I24" s="45"/>
      <c r="J24" s="70"/>
      <c r="K24" s="60" t="s">
        <v>47</v>
      </c>
      <c r="L24" s="50" t="s">
        <v>44</v>
      </c>
      <c r="M24" s="4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57.0" customHeight="1">
      <c r="A25" s="1"/>
      <c r="B25" s="52"/>
      <c r="C25" s="82" t="s">
        <v>48</v>
      </c>
      <c r="D25" s="61"/>
      <c r="E25" s="83">
        <v>3000.0</v>
      </c>
      <c r="F25" s="44">
        <f>E25-(E25*F7)</f>
        <v>2550</v>
      </c>
      <c r="G25" s="45"/>
      <c r="H25" s="44">
        <f>E25-(E25*$H$7)</f>
        <v>1950</v>
      </c>
      <c r="I25" s="45"/>
      <c r="J25" s="84"/>
      <c r="K25" s="64" t="s">
        <v>41</v>
      </c>
      <c r="L25" s="50" t="s">
        <v>29</v>
      </c>
      <c r="M25" s="4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5.5" customHeight="1">
      <c r="A26" s="55"/>
      <c r="B26" s="56">
        <v>3.0</v>
      </c>
      <c r="C26" s="85" t="s">
        <v>49</v>
      </c>
      <c r="D26" s="86"/>
      <c r="E26" s="86"/>
      <c r="F26" s="87"/>
      <c r="G26" s="58"/>
      <c r="H26" s="86"/>
      <c r="I26" s="86"/>
      <c r="J26" s="86"/>
      <c r="K26" s="87"/>
      <c r="L26" s="59"/>
      <c r="M26" s="4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56.25" customHeight="1">
      <c r="A27" s="1"/>
      <c r="B27" s="55"/>
      <c r="C27" s="82" t="s">
        <v>50</v>
      </c>
      <c r="D27" s="67" t="s">
        <v>51</v>
      </c>
      <c r="E27" s="88">
        <v>20000.0</v>
      </c>
      <c r="F27" s="89"/>
      <c r="G27" s="45"/>
      <c r="H27" s="89"/>
      <c r="I27" s="45"/>
      <c r="J27" s="84"/>
      <c r="K27" s="64" t="s">
        <v>52</v>
      </c>
      <c r="L27" s="64" t="s">
        <v>33</v>
      </c>
      <c r="M27" s="4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48.75" customHeight="1">
      <c r="A28" s="1"/>
      <c r="B28" s="55"/>
      <c r="C28" s="82" t="s">
        <v>53</v>
      </c>
      <c r="D28" s="67" t="s">
        <v>51</v>
      </c>
      <c r="E28" s="90">
        <v>72000.0</v>
      </c>
      <c r="F28" s="89"/>
      <c r="G28" s="45"/>
      <c r="H28" s="89"/>
      <c r="I28" s="45"/>
      <c r="J28" s="84"/>
      <c r="K28" s="64" t="s">
        <v>52</v>
      </c>
      <c r="L28" s="64" t="s">
        <v>54</v>
      </c>
      <c r="M28" s="4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5.5" customHeight="1">
      <c r="A29" s="55"/>
      <c r="B29" s="91">
        <v>4.0</v>
      </c>
      <c r="C29" s="92" t="s">
        <v>55</v>
      </c>
      <c r="D29" s="58"/>
      <c r="E29" s="58"/>
      <c r="F29" s="58"/>
      <c r="G29" s="58"/>
      <c r="H29" s="58"/>
      <c r="I29" s="58"/>
      <c r="J29" s="58"/>
      <c r="K29" s="45"/>
      <c r="L29" s="59"/>
      <c r="M29" s="4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64.5" customHeight="1">
      <c r="A30" s="1"/>
      <c r="B30" s="69"/>
      <c r="C30" s="60" t="s">
        <v>56</v>
      </c>
      <c r="D30" s="93" t="s">
        <v>51</v>
      </c>
      <c r="E30" s="62">
        <v>30000.0</v>
      </c>
      <c r="F30" s="44">
        <f t="shared" ref="F30:F31" si="4">E30-(E30*F$7)</f>
        <v>25500</v>
      </c>
      <c r="G30" s="45"/>
      <c r="H30" s="44">
        <f t="shared" ref="H30:H31" si="5">E30-(E30*$H$7)</f>
        <v>19500</v>
      </c>
      <c r="I30" s="45"/>
      <c r="J30" s="70"/>
      <c r="K30" s="60" t="s">
        <v>57</v>
      </c>
      <c r="L30" s="66" t="s">
        <v>58</v>
      </c>
      <c r="M30" s="4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64.5" customHeight="1">
      <c r="A31" s="94"/>
      <c r="B31" s="95"/>
      <c r="C31" s="60" t="s">
        <v>59</v>
      </c>
      <c r="D31" s="93" t="s">
        <v>51</v>
      </c>
      <c r="E31" s="62">
        <v>50000.0</v>
      </c>
      <c r="F31" s="44">
        <f t="shared" si="4"/>
        <v>42500</v>
      </c>
      <c r="G31" s="45"/>
      <c r="H31" s="44">
        <f t="shared" si="5"/>
        <v>32500</v>
      </c>
      <c r="I31" s="45"/>
      <c r="J31" s="70"/>
      <c r="K31" s="60" t="s">
        <v>57</v>
      </c>
      <c r="L31" s="66" t="s">
        <v>58</v>
      </c>
      <c r="M31" s="4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42.75" customHeight="1">
      <c r="A32" s="72"/>
      <c r="B32" s="73"/>
      <c r="C32" s="74" t="s">
        <v>60</v>
      </c>
      <c r="D32" s="93" t="s">
        <v>51</v>
      </c>
      <c r="E32" s="62">
        <v>30000.0</v>
      </c>
      <c r="F32" s="76"/>
      <c r="G32" s="45"/>
      <c r="H32" s="76"/>
      <c r="I32" s="45"/>
      <c r="J32" s="77"/>
      <c r="K32" s="41" t="s">
        <v>57</v>
      </c>
      <c r="L32" s="96" t="s">
        <v>61</v>
      </c>
      <c r="M32" s="79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ht="57.0" customHeight="1">
      <c r="A33" s="94"/>
      <c r="B33" s="95"/>
      <c r="C33" s="97" t="s">
        <v>62</v>
      </c>
      <c r="D33" s="61"/>
      <c r="E33" s="83">
        <v>3000.0</v>
      </c>
      <c r="F33" s="44">
        <f>E33-(E33*F$7)</f>
        <v>2550</v>
      </c>
      <c r="G33" s="45"/>
      <c r="H33" s="44">
        <f>E33-(E33*$H$7)</f>
        <v>1950</v>
      </c>
      <c r="I33" s="45"/>
      <c r="J33" s="84"/>
      <c r="K33" s="64" t="s">
        <v>41</v>
      </c>
      <c r="L33" s="50" t="s">
        <v>29</v>
      </c>
      <c r="M33" s="4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0" customHeight="1">
      <c r="A34" s="1"/>
      <c r="B34" s="98"/>
      <c r="C34" s="9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</row>
    <row r="1001" ht="15.75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</row>
    <row r="1002" ht="15.75" customHeight="1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</row>
    <row r="1003" ht="15.75" customHeight="1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</row>
    <row r="1004" ht="15.75" customHeight="1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</row>
    <row r="1005" ht="15.75" customHeight="1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</row>
  </sheetData>
  <mergeCells count="62">
    <mergeCell ref="H25:I25"/>
    <mergeCell ref="H27:I27"/>
    <mergeCell ref="H28:I28"/>
    <mergeCell ref="C29:K29"/>
    <mergeCell ref="H30:I30"/>
    <mergeCell ref="H31:I31"/>
    <mergeCell ref="H32:I32"/>
    <mergeCell ref="F21:G21"/>
    <mergeCell ref="H21:I21"/>
    <mergeCell ref="F22:G22"/>
    <mergeCell ref="H22:I22"/>
    <mergeCell ref="F23:G23"/>
    <mergeCell ref="H23:I23"/>
    <mergeCell ref="H24:I24"/>
    <mergeCell ref="F32:G32"/>
    <mergeCell ref="F33:G33"/>
    <mergeCell ref="H33:I33"/>
    <mergeCell ref="F24:G24"/>
    <mergeCell ref="F25:G25"/>
    <mergeCell ref="F26:G26"/>
    <mergeCell ref="F27:G27"/>
    <mergeCell ref="F28:G28"/>
    <mergeCell ref="F30:G30"/>
    <mergeCell ref="F31:G31"/>
    <mergeCell ref="C7:C8"/>
    <mergeCell ref="D7:E8"/>
    <mergeCell ref="J7:J8"/>
    <mergeCell ref="K7:K8"/>
    <mergeCell ref="L7:L8"/>
    <mergeCell ref="B2:C4"/>
    <mergeCell ref="E2:G2"/>
    <mergeCell ref="K2:K4"/>
    <mergeCell ref="E3:G3"/>
    <mergeCell ref="E4:G4"/>
    <mergeCell ref="B5:C5"/>
    <mergeCell ref="B7:B8"/>
    <mergeCell ref="H13:I13"/>
    <mergeCell ref="H15:I15"/>
    <mergeCell ref="H16:I16"/>
    <mergeCell ref="H17:I17"/>
    <mergeCell ref="H18:I18"/>
    <mergeCell ref="H7:H8"/>
    <mergeCell ref="I7:I8"/>
    <mergeCell ref="H9:I9"/>
    <mergeCell ref="H10:I10"/>
    <mergeCell ref="H11:I11"/>
    <mergeCell ref="H12:I12"/>
    <mergeCell ref="C14:K14"/>
    <mergeCell ref="F7:F8"/>
    <mergeCell ref="G7:G8"/>
    <mergeCell ref="F9:G9"/>
    <mergeCell ref="F10:G10"/>
    <mergeCell ref="F11:G11"/>
    <mergeCell ref="F12:G12"/>
    <mergeCell ref="F13:G13"/>
    <mergeCell ref="F15:G15"/>
    <mergeCell ref="F16:G16"/>
    <mergeCell ref="F17:G17"/>
    <mergeCell ref="F18:G18"/>
    <mergeCell ref="C19:K19"/>
    <mergeCell ref="F20:G20"/>
    <mergeCell ref="H20:I20"/>
  </mergeCells>
  <hyperlinks>
    <hyperlink r:id="rId1" ref="K9"/>
    <hyperlink r:id="rId2" ref="K15"/>
  </hyperlinks>
  <printOptions/>
  <pageMargins bottom="1.0" footer="0.0" header="0.0" left="1.0" right="1.0" top="1.0"/>
  <pageSetup orientation="portrait"/>
  <headerFooter>
    <oddFooter>&amp;C000000000000&amp;P</oddFooter>
  </headerFooter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